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f126356af4c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rint计划" sheetId="1" r:id="R72eddeaa2021470c"/>
    <x:sheet xmlns:r="http://schemas.openxmlformats.org/officeDocument/2006/relationships" name="Product Backlog" sheetId="2" r:id="R2c7da3af1d6a46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sz val="10"/>
      <x:color rgb="FF3D3D3A"/>
      <x:name val="Microsoft YaHei"/>
    </x:font>
    <x:font>
      <x:b/>
      <x:sz val="10"/>
      <x:color rgb="FFFAF9F5"/>
      <x:name val="Microsoft YaHei"/>
    </x:font>
    <x:font>
      <x:b/>
      <x:sz val="16"/>
      <x:color rgb="FF141413"/>
      <x:name val="Microsoft YaHei"/>
    </x:font>
    <x:font>
      <x:b/>
      <x:sz val="12"/>
      <x:color rgb="FF141413"/>
      <x:name val="Microsoft YaHei"/>
    </x:font>
    <x:font>
      <x:b/>
      <x:sz val="10"/>
      <x:color rgb="FFFFFFFF"/>
      <x:name val="Microsoft YaHei"/>
    </x:font>
    <x:font>
      <x:b/>
      <x:sz val="11"/>
      <x:color rgb="FFFAF9F5"/>
      <x:name val="Microsoft YaHei"/>
    </x:font>
    <x:font>
      <x:b/>
      <x:sz val="10"/>
      <x:color rgb="FFA9583E"/>
      <x:name val="Microsoft YaHei"/>
    </x:font>
    <x:font>
      <x:sz val="11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81715"/>
      </x:patternFill>
    </x:fill>
    <x:fill>
      <x:patternFill patternType="solid">
        <x:fgColor rgb="FFF5F0E8"/>
      </x:patternFill>
    </x:fill>
    <x:fill>
      <x:patternFill patternType="solid">
        <x:fgColor rgb="FFCC785C"/>
      </x:patternFill>
    </x:fill>
  </x:fills>
  <x:borders count="11">
    <x:border/>
    <x:border>
      <x:bottom style="thin">
        <x:color rgb="FFCC785C"/>
      </x:bottom>
    </x:border>
    <x:border>
      <x:right style="thin">
        <x:color rgb="FFE6DFD8"/>
      </x:right>
      <x:bottom style="thin">
        <x:color rgb="FFE6DFD8"/>
      </x:bottom>
    </x:border>
    <x:border>
      <x:left style="thin">
        <x:color rgb="FFE6DFD8"/>
      </x:left>
      <x:right style="thin">
        <x:color rgb="FFE6DFD8"/>
      </x:right>
      <x:bottom style="thin">
        <x:color rgb="FFE6DFD8"/>
      </x:bottom>
    </x:border>
    <x:border>
      <x:left style="thin">
        <x:color rgb="FFE6DFD8"/>
      </x:left>
      <x:bottom style="thin">
        <x:color rgb="FFE6DFD8"/>
      </x:bottom>
    </x:border>
    <x:border>
      <x:right style="thin">
        <x:color rgb="FFE6DFD8"/>
      </x:right>
      <x:top style="thin">
        <x:color rgb="FFE6DFD8"/>
      </x:top>
      <x:bottom style="thin">
        <x:color rgb="FFE6DFD8"/>
      </x:bottom>
    </x:border>
    <x:border>
      <x:left style="thin">
        <x:color rgb="FFE6DFD8"/>
      </x:left>
      <x:right style="thin">
        <x:color rgb="FFE6DFD8"/>
      </x:right>
      <x:top style="thin">
        <x:color rgb="FFE6DFD8"/>
      </x:top>
      <x:bottom style="thin">
        <x:color rgb="FFE6DFD8"/>
      </x:bottom>
    </x:border>
    <x:border>
      <x:left style="thin">
        <x:color rgb="FFE6DFD8"/>
      </x:left>
      <x:top style="thin">
        <x:color rgb="FFE6DFD8"/>
      </x:top>
      <x:bottom style="thin">
        <x:color rgb="FFE6DFD8"/>
      </x:bottom>
    </x:border>
    <x:border>
      <x:right style="thin">
        <x:color rgb="FFE6DFD8"/>
      </x:right>
      <x:top style="thin">
        <x:color rgb="FFE6DFD8"/>
      </x:top>
    </x:border>
    <x:border>
      <x:left style="thin">
        <x:color rgb="FFE6DFD8"/>
      </x:left>
      <x:right style="thin">
        <x:color rgb="FFE6DFD8"/>
      </x:right>
      <x:top style="thin">
        <x:color rgb="FFE6DFD8"/>
      </x:top>
    </x:border>
    <x:border>
      <x:left style="thin">
        <x:color rgb="FFE6DFD8"/>
      </x:left>
      <x:top style="thin">
        <x:color rgb="FFE6DFD8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/>
    </x:xf>
    <x:xf numFmtId="200" fontId="1" fillId="0" borderId="0" xfId="0" applyNumberFormat="1" applyFont="1" applyFill="1" applyBorder="1" applyAlignment="1">
      <x:alignment horizontal="center" vertical="top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horizontal="center" vertical="center"/>
    </x:xf>
    <x:xf numFmtId="0" fontId="5" fillId="4" borderId="3" xfId="0" applyNumberFormat="1" applyFont="1" applyFill="1" applyBorder="1" applyAlignment="1">
      <x:alignment horizontal="center" vertical="center"/>
    </x:xf>
    <x:xf numFmtId="0" fontId="5" fillId="4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7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/>
    <x:xf numFmtId="0" fontId="8" fillId="0" borderId="0" xfId="0" applyNumberFormat="1" applyFont="1" applyFill="1" applyBorder="1"/>
    <x:xf numFmtId="0" fontId="2" fillId="2" borderId="6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horizontal="center" vertical="center"/>
    </x:xf>
    <x:xf numFmtId="0" fontId="5" fillId="4" borderId="6" xfId="0" applyNumberFormat="1" applyFont="1" applyFill="1" applyBorder="1" applyAlignment="1">
      <x:alignment horizontal="center" vertical="center"/>
    </x:xf>
    <x:xf numFmtId="0" fontId="6" fillId="2" borderId="6" xfId="0" applyNumberFormat="1" applyFont="1" applyFill="1" applyBorder="1"/>
    <x:xf numFmtId="0" fontId="7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A9583E"/>
      </x:font>
      <x:fill>
        <x:patternFill patternType="solid">
          <x:bgColor rgb="FFFCE8E3"/>
        </x:patternFill>
      </x:fill>
    </x:dxf>
    <x:dxf>
      <x:font>
        <x:b/>
        <x:color rgb="FFC64545"/>
      </x:font>
      <x:fill>
        <x:patternFill patternType="solid">
          <x:bgColor rgb="FFF9DEDE"/>
        </x:patternFill>
      </x:fill>
    </x:dxf>
    <x:dxf>
      <x:font>
        <x:b/>
        <x:color rgb="FF3F8F5B"/>
      </x:font>
      <x:fill>
        <x:patternFill patternType="solid">
          <x:bgColor rgb="FFE3F2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6efa5ec5434aa8" /><Relationship Type="http://schemas.openxmlformats.org/officeDocument/2006/relationships/theme" Target="/xl/theme/theme1.xml" Id="R1cc9f1f7331445b5" /><Relationship Type="http://schemas.openxmlformats.org/officeDocument/2006/relationships/sharedStrings" Target="/xl/sharedStrings.xml" Id="R45390a4f37584aca" /><Relationship Type="http://schemas.openxmlformats.org/officeDocument/2006/relationships/worksheet" Target="/xl/worksheets/sheet1.xml" Id="R72eddeaa2021470c" /><Relationship Type="http://schemas.openxmlformats.org/officeDocument/2006/relationships/worksheet" Target="/xl/worksheets/sheet2.xml" Id="R2c7da3af1d6a463c" /></Relationships>
</file>

<file path=xl/tables/table1.xml><?xml version="1.0" encoding="utf-8"?>
<x:table xmlns:x="http://schemas.openxmlformats.org/spreadsheetml/2006/main" id="1" name="ProductBacklogTable" displayName="ProductBacklogTable" ref="A1:K36" headerRowCount="1" totalsRowCount="0" totalsRowShown="0">
  <x:autoFilter ref="A1:K36"/>
  <x:tableColumns count="11">
    <x:tableColumn id="1" name="编号"/>
    <x:tableColumn id="2" name="Epic"/>
    <x:tableColumn id="3" name="Backlog 项"/>
    <x:tableColumn id="4" name="用户故事"/>
    <x:tableColumn id="5" name="优先级"/>
    <x:tableColumn id="6" name="建议迭代"/>
    <x:tableColumn id="7" name="故事点"/>
    <x:tableColumn id="8" name="建议负责人"/>
    <x:tableColumn id="9" name="状态"/>
    <x:tableColumn id="10" name="依赖"/>
    <x:tableColumn id="11" name="验收标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799c7cf20d4994" /></Relationships>
</file>

<file path=xl/worksheets/sheet1.xml><?xml version="1.0" encoding="utf-8"?>
<x:worksheet xmlns:x="http://schemas.openxmlformats.org/spreadsheetml/2006/main">
  <x:sheetPr>
    <x:tabColor rgb="FFCC785C"/>
  </x:sheetPr>
  <x:sheetViews>
    <x:sheetView showGridLines="0" workbookViewId="0"/>
  </x:sheetViews>
  <x:sheetFormatPr defaultRowHeight="15"/>
  <x:cols>
    <x:col min="1" max="1" width="3" hidden="0" customWidth="1"/>
    <x:col min="2" max="2" width="15" hidden="0" customWidth="1"/>
    <x:col min="3" max="3" width="28" hidden="0" customWidth="1"/>
    <x:col min="4" max="4" width="28" hidden="0" customWidth="1"/>
    <x:col min="5" max="5" width="12" hidden="0" customWidth="1"/>
    <x:col min="6" max="6" width="12" hidden="0" customWidth="1"/>
    <x:col min="7" max="7" width="56" hidden="0" customWidth="1"/>
    <x:col min="8" max="8" width="14" hidden="0" customWidth="1"/>
    <x:col min="9" max="9" width="14" hidden="0" customWidth="1"/>
    <x:col min="10" max="10" width="14" hidden="0" customWidth="1"/>
  </x:cols>
  <x:sheetData>
    <x:row r="2" ht="30" customHeight="1">
      <x:c r="B2" s="12" t="str">
        <x:v>高速公路广告牌经营管理系统 Product Backlog</x:v>
      </x:c>
      <x:c r="C2" s="12"/>
      <x:c r="D2" s="12"/>
      <x:c r="E2" s="12"/>
      <x:c r="F2" s="12"/>
      <x:c r="G2" s="12"/>
      <x:c r="H2" s="12"/>
      <x:c r="I2" s="12"/>
      <x:c r="J2" s="12"/>
    </x:row>
    <x:row r="3">
      <x:c r="B3" s="35"/>
      <x:c r="C3" s="35"/>
      <x:c r="D3" s="35"/>
      <x:c r="E3" s="35"/>
      <x:c r="F3" s="35"/>
      <x:c r="G3" s="35"/>
      <x:c r="H3" s="35"/>
      <x:c r="I3" s="35"/>
      <x:c r="J3" s="35"/>
    </x:row>
    <x:row r="4">
      <x:c r="B4" s="36"/>
      <x:c r="C4" s="36"/>
      <x:c r="D4" s="36"/>
      <x:c r="E4" s="36"/>
      <x:c r="F4" s="36"/>
      <x:c r="G4" s="36"/>
      <x:c r="H4" s="36"/>
      <x:c r="I4" s="36"/>
      <x:c r="J4" s="36"/>
    </x:row>
    <x:row r="5" ht="34" customHeight="1">
      <x:c r="B5" s="37" t="str">
        <x:v>指标</x:v>
      </x:c>
      <x:c r="C5" s="37" t="str">
        <x:v>总 Backlog</x:v>
      </x:c>
      <x:c r="D5" s="37" t="str">
        <x:v>Must</x:v>
      </x:c>
      <x:c r="E5" s="37" t="str">
        <x:v>Should</x:v>
      </x:c>
      <x:c r="F5" s="37" t="str">
        <x:v>总故事点</x:v>
      </x:c>
      <x:c r="G5" s="37" t="str">
        <x:v>Sprint 1 条目</x:v>
      </x:c>
      <x:c r="H5" s="37" t="str">
        <x:v>Sprint 1 故事点</x:v>
      </x:c>
      <x:c r="I5" s="37" t="str">
        <x:v>未开始</x:v>
      </x:c>
      <x:c r="J5" s="37" t="str">
        <x:v>当前版本</x:v>
      </x:c>
    </x:row>
    <x:row r="6" ht="34" customHeight="1">
      <x:c r="B6" s="38" t="str">
        <x:f>"规模"</x:f>
        <x:v>规模</x:v>
      </x:c>
      <x:c r="C6" s="38" t="n">
        <x:f>COUNTA('Product Backlog'!$A$2:$A$36)</x:f>
        <x:v>35</x:v>
      </x:c>
      <x:c r="D6" s="38" t="n">
        <x:f>COUNTIF('Product Backlog'!$E$2:$E$36,"Must")</x:f>
        <x:v>20</x:v>
      </x:c>
      <x:c r="E6" s="38" t="n">
        <x:f>COUNTIF('Product Backlog'!$E$2:$E$36,"Should")</x:f>
        <x:v>14</x:v>
      </x:c>
      <x:c r="F6" s="38" t="n">
        <x:f>SUM('Product Backlog'!$G$2:$G$36)</x:f>
        <x:v>244</x:v>
      </x:c>
      <x:c r="G6" s="38" t="n">
        <x:f>COUNTIF('Product Backlog'!$F$2:$F$36,"Sprint 1")</x:f>
        <x:v>8</x:v>
      </x:c>
      <x:c r="H6" s="38" t="n">
        <x:f>SUMIF('Product Backlog'!$F$2:$F$36,"Sprint 1",'Product Backlog'!$G$2:$G$36)</x:f>
        <x:v>46</x:v>
      </x:c>
      <x:c r="I6" s="38" t="n">
        <x:f>COUNTIF('Product Backlog'!$I$2:$I$36,"待开始")</x:f>
        <x:v>35</x:v>
      </x:c>
      <x:c r="J6" s="38" t="str">
        <x:f>"V1.0"</x:f>
        <x:v>V1.0</x:v>
      </x:c>
    </x:row>
    <x:row r="7">
      <x:c r="B7" s="36"/>
      <x:c r="C7" s="36"/>
      <x:c r="D7" s="36"/>
      <x:c r="E7" s="36"/>
      <x:c r="F7" s="36"/>
      <x:c r="G7" s="36"/>
      <x:c r="H7" s="36"/>
      <x:c r="I7" s="36"/>
      <x:c r="J7" s="36"/>
    </x:row>
    <x:row r="8" ht="30" customHeight="1">
      <x:c r="B8" s="39" t="str">
        <x:v>迭代</x:v>
      </x:c>
      <x:c r="C8" s="39" t="str">
        <x:v>目标</x:v>
      </x:c>
      <x:c r="D8" s="39" t="str">
        <x:v>主要范围</x:v>
      </x:c>
      <x:c r="E8" s="39" t="str">
        <x:v>条目数</x:v>
      </x:c>
      <x:c r="F8" s="39" t="str">
        <x:v>故事点</x:v>
      </x:c>
      <x:c r="G8" s="39" t="str">
        <x:v>出口条件</x:v>
      </x:c>
      <x:c r="H8" s="36"/>
      <x:c r="I8" s="36"/>
      <x:c r="J8" s="36"/>
    </x:row>
    <x:row r="9" ht="52" customHeight="1">
      <x:c r="B9" s="28" t="str">
        <x:v>Sprint 0</x:v>
      </x:c>
      <x:c r="C9" s="28" t="str">
        <x:v>建立可持续开发基线</x:v>
      </x:c>
      <x:c r="D9" s="28" t="str">
        <x:v>工程骨架、迁移和质量门禁</x:v>
      </x:c>
      <x:c r="E9" s="28" t="n">
        <x:f>COUNTIF('Product Backlog'!$F$2:$F$36,B9)</x:f>
        <x:v>2</x:v>
      </x:c>
      <x:c r="F9" s="28" t="n">
        <x:f>SUMIF('Product Backlog'!$F$2:$F$36,B9,'Product Backlog'!$G$2:$G$36)</x:f>
        <x:v>6</x:v>
      </x:c>
      <x:c r="G9" s="28" t="str">
        <x:v>主干构建和测试通过，环境可重复初始化</x:v>
      </x:c>
      <x:c r="H9" s="36"/>
      <x:c r="I9" s="36"/>
      <x:c r="J9" s="36"/>
    </x:row>
    <x:row r="10" ht="52" customHeight="1">
      <x:c r="B10" s="28" t="str">
        <x:v>Sprint 1</x:v>
      </x:c>
      <x:c r="C10" s="28" t="str">
        <x:v>完成安全基础与资产最小闭环</x:v>
      </x:c>
      <x:c r="D10" s="28" t="str">
        <x:v>登录权限、用户组织、广告牌档案、列表、审计、脱敏、演示部署</x:v>
      </x:c>
      <x:c r="E10" s="28" t="n">
        <x:f>COUNTIF('Product Backlog'!$F$2:$F$36,B10)</x:f>
        <x:v>8</x:v>
      </x:c>
      <x:c r="F10" s="28" t="n">
        <x:f>SUMIF('Product Backlog'!$F$2:$F$36,B10,'Product Backlog'!$G$2:$G$36)</x:f>
        <x:v>46</x:v>
      </x:c>
      <x:c r="G10" s="28" t="str">
        <x:v>授权用户能安全维护和查询广告牌；越权、审计和部署测试通过</x:v>
      </x:c>
      <x:c r="H10" s="36"/>
      <x:c r="I10" s="36"/>
      <x:c r="J10" s="36"/>
    </x:row>
    <x:row r="11" ht="52" customHeight="1">
      <x:c r="B11" s="28" t="str">
        <x:v>Sprint 2</x:v>
      </x:c>
      <x:c r="C11" s="28" t="str">
        <x:v>形成客户与合同审批闭环</x:v>
      </x:c>
      <x:c r="D11" s="28" t="str">
        <x:v>地图、附件、客户、合同草稿与审批</x:v>
      </x:c>
      <x:c r="E11" s="28" t="n">
        <x:f>COUNTIF('Product Backlog'!$F$2:$F$36,B11)</x:f>
        <x:v>5</x:v>
      </x:c>
      <x:c r="F11" s="28" t="n">
        <x:f>SUMIF('Product Backlog'!$F$2:$F$36,B11,'Product Backlog'!$G$2:$G$36)</x:f>
        <x:v>34</x:v>
      </x:c>
      <x:c r="G11" s="28" t="str">
        <x:v>合同可由草稿进入审批并阻止点位租期冲突</x:v>
      </x:c>
      <x:c r="H11" s="36"/>
      <x:c r="I11" s="36"/>
      <x:c r="J11" s="36"/>
    </x:row>
    <x:row r="12" ht="52" customHeight="1">
      <x:c r="B12" s="28" t="str">
        <x:v>Sprint 3</x:v>
      </x:c>
      <x:c r="C12" s="28" t="str">
        <x:v>形成合同履约和回款闭环</x:v>
      </x:c>
      <x:c r="D12" s="28" t="str">
        <x:v>合同变更、应收、核销、退款冲销、逾期预警</x:v>
      </x:c>
      <x:c r="E12" s="28" t="n">
        <x:f>COUNTIF('Product Backlog'!$F$2:$F$36,B12)</x:f>
        <x:v>6</x:v>
      </x:c>
      <x:c r="F12" s="28" t="n">
        <x:f>SUMIF('Product Backlog'!$F$2:$F$36,B12,'Product Backlog'!$G$2:$G$36)</x:f>
        <x:v>40</x:v>
      </x:c>
      <x:c r="G12" s="28" t="str">
        <x:v>合同金额与应收、收款、余额可对账</x:v>
      </x:c>
      <x:c r="H12" s="36"/>
      <x:c r="I12" s="36"/>
      <x:c r="J12" s="36"/>
    </x:row>
    <x:row r="13" ht="52" customHeight="1">
      <x:c r="B13" s="28" t="str">
        <x:v>Sprint 4</x:v>
      </x:c>
      <x:c r="C13" s="28" t="str">
        <x:v>形成运营执行与管理看板</x:v>
      </x:c>
      <x:c r="D13" s="28" t="str">
        <x:v>巡检维修、工作台、基础数据导入</x:v>
      </x:c>
      <x:c r="E13" s="28" t="n">
        <x:f>COUNTIF('Product Backlog'!$F$2:$F$36,B13)</x:f>
        <x:v>5</x:v>
      </x:c>
      <x:c r="F13" s="28" t="n">
        <x:f>SUMIF('Product Backlog'!$F$2:$F$36,B13,'Product Backlog'!$G$2:$G$36)</x:f>
        <x:v>37</x:v>
      </x:c>
      <x:c r="G13" s="28" t="str">
        <x:v>巡检问题可闭环，核心指标可追溯到明细</x:v>
      </x:c>
      <x:c r="H13" s="36"/>
      <x:c r="I13" s="36"/>
      <x:c r="J13" s="36"/>
    </x:row>
    <x:row r="14" ht="52" customHeight="1">
      <x:c r="B14" s="28" t="str">
        <x:v>Sprint 5</x:v>
      </x:c>
      <x:c r="C14" s="28" t="str">
        <x:v>具备 AI 前置能力和生产交付条件</x:v>
      </x:c>
      <x:c r="D14" s="28" t="str">
        <x:v>报表、大模型配置、合同解析、阿里云部署、监控与迁移</x:v>
      </x:c>
      <x:c r="E14" s="28" t="n">
        <x:f>COUNTIF('Product Backlog'!$F$2:$F$36,B14)</x:f>
        <x:v>7</x:v>
      </x:c>
      <x:c r="F14" s="28" t="n">
        <x:f>SUMIF('Product Backlog'!$F$2:$F$36,B14,'Product Backlog'!$G$2:$G$36)</x:f>
        <x:v>60</x:v>
      </x:c>
      <x:c r="G14" s="28" t="str">
        <x:v>生产部署和数据迁移验收通过，AI 仅生成可确认草稿</x:v>
      </x:c>
      <x:c r="H14" s="36"/>
      <x:c r="I14" s="36"/>
      <x:c r="J14" s="36"/>
    </x:row>
    <x:row r="15" ht="52" customHeight="1">
      <x:c r="B15" s="28" t="str">
        <x:v>Sprint 6</x:v>
      </x:c>
      <x:c r="C15" s="28" t="str">
        <x:v>上线权限内 RAG 与风险解释</x:v>
      </x:c>
      <x:c r="D15" s="28" t="str">
        <x:v>知识检索问答、风险解释</x:v>
      </x:c>
      <x:c r="E15" s="28" t="n">
        <x:f>COUNTIF('Product Backlog'!$F$2:$F$36,B15)</x:f>
        <x:v>2</x:v>
      </x:c>
      <x:c r="F15" s="28" t="n">
        <x:f>SUMIF('Product Backlog'!$F$2:$F$36,B15,'Product Backlog'!$G$2:$G$36)</x:f>
        <x:v>21</x:v>
      </x:c>
      <x:c r="G15" s="28" t="str">
        <x:v>回答有来源、不越权，事实与建议明确分离</x:v>
      </x:c>
      <x:c r="H15" s="36"/>
      <x:c r="I15" s="36"/>
      <x:c r="J15" s="36"/>
    </x:row>
    <x:row r="16">
      <x:c r="B16" s="36"/>
      <x:c r="C16" s="36"/>
      <x:c r="D16" s="36"/>
      <x:c r="E16" s="36"/>
      <x:c r="F16" s="36"/>
      <x:c r="G16" s="36"/>
      <x:c r="H16" s="36"/>
      <x:c r="I16" s="36"/>
      <x:c r="J16" s="36"/>
    </x:row>
    <x:row r="17">
      <x:c r="B17" s="40" t="str">
        <x:v>Sprint 1 建议范围</x:v>
      </x:c>
      <x:c r="C17" s="40"/>
      <x:c r="D17" s="40"/>
      <x:c r="E17" s="40"/>
      <x:c r="F17" s="40"/>
      <x:c r="G17" s="40"/>
      <x:c r="H17" s="36"/>
      <x:c r="I17" s="36"/>
      <x:c r="J17" s="36"/>
    </x:row>
    <x:row r="18" ht="44" customHeight="1">
      <x:c r="B18" s="41" t="str">
        <x:v>目标</x:v>
      </x:c>
      <x:c r="C18" s="28" t="str">
        <x:v>建立可登录、可授权、可审计的广告牌资产最小闭环</x:v>
      </x:c>
      <x:c r="D18" s="28" t="str"/>
      <x:c r="E18" s="28" t="str"/>
      <x:c r="F18" s="28" t="str"/>
      <x:c r="G18" s="28" t="str"/>
      <x:c r="H18" s="36"/>
      <x:c r="I18" s="36"/>
      <x:c r="J18" s="36"/>
    </x:row>
    <x:row r="19" ht="44" customHeight="1">
      <x:c r="B19" s="41" t="str">
        <x:v>团队分工</x:v>
      </x:c>
      <x:c r="C19" s="28" t="str">
        <x:v>林家明：交互与验收；李嘉伟：资产与迁移；刘俊义：认证权限与审计；祝贺：测试设计和验收</x:v>
      </x:c>
      <x:c r="D19" s="28" t="str"/>
      <x:c r="E19" s="28" t="str"/>
      <x:c r="F19" s="28" t="str"/>
      <x:c r="G19" s="28" t="str"/>
      <x:c r="H19" s="36"/>
      <x:c r="I19" s="36"/>
      <x:c r="J19" s="36"/>
    </x:row>
    <x:row r="20" ht="44" customHeight="1">
      <x:c r="B20" s="41" t="str">
        <x:v>演示路径</x:v>
      </x:c>
      <x:c r="C20" s="28" t="str">
        <x:v>登录 → 进入广告牌列表 → 新增广告牌 → 筛选查询 → 查看审计记录 → 权限拒绝验证</x:v>
      </x:c>
      <x:c r="D20" s="28" t="str"/>
      <x:c r="E20" s="28" t="str"/>
      <x:c r="F20" s="28" t="str"/>
      <x:c r="G20" s="28" t="str"/>
      <x:c r="H20" s="36"/>
      <x:c r="I20" s="36"/>
      <x:c r="J20" s="36"/>
    </x:row>
    <x:row r="21" ht="44" customHeight="1">
      <x:c r="B21" s="41" t="str">
        <x:v>风险控制</x:v>
      </x:c>
      <x:c r="C21" s="28" t="str">
        <x:v>Sprint 1 不接真实客户数据；Vercel 仅保存测试或脱敏数据；生产云资源在正式数据接入前完成</x:v>
      </x:c>
      <x:c r="D21" s="28" t="str"/>
      <x:c r="E21" s="28" t="str"/>
      <x:c r="F21" s="28" t="str"/>
      <x:c r="G21" s="28" t="str"/>
      <x:c r="H21" s="36"/>
      <x:c r="I21" s="36"/>
      <x:c r="J21" s="36"/>
    </x:row>
  </x:sheetData>
  <x:mergeCells>
    <x:mergeCell ref="B2:J2"/>
    <x:mergeCell ref="B17:G17"/>
    <x:mergeCell ref="C18:G18"/>
    <x:mergeCell ref="C19:G19"/>
    <x:mergeCell ref="C20:G20"/>
    <x:mergeCell ref="C21:G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9583E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46" hidden="0" customWidth="1"/>
    <x:col min="5" max="5" width="11" hidden="0" customWidth="1"/>
    <x:col min="6" max="6" width="12" hidden="0" customWidth="1"/>
    <x:col min="7" max="7" width="9" hidden="0" customWidth="1"/>
    <x:col min="8" max="8" width="18" hidden="0" customWidth="1"/>
    <x:col min="9" max="9" width="11" hidden="0" customWidth="1"/>
    <x:col min="10" max="10" width="18" hidden="0" customWidth="1"/>
    <x:col min="11" max="11" width="62" hidden="0" customWidth="1"/>
  </x:cols>
  <x:sheetData>
    <x:row r="1" ht="34" customHeight="1">
      <x:c r="A1" s="6" t="str">
        <x:v>编号</x:v>
      </x:c>
      <x:c r="B1" s="6" t="str">
        <x:v>Epic</x:v>
      </x:c>
      <x:c r="C1" s="6" t="str">
        <x:v>Backlog 项</x:v>
      </x:c>
      <x:c r="D1" s="6" t="str">
        <x:v>用户故事</x:v>
      </x:c>
      <x:c r="E1" s="6" t="str">
        <x:v>优先级</x:v>
      </x:c>
      <x:c r="F1" s="6" t="str">
        <x:v>建议迭代</x:v>
      </x:c>
      <x:c r="G1" s="6" t="str">
        <x:v>故事点</x:v>
      </x:c>
      <x:c r="H1" s="6" t="str">
        <x:v>建议负责人</x:v>
      </x:c>
      <x:c r="I1" s="6" t="str">
        <x:v>状态</x:v>
      </x:c>
      <x:c r="J1" s="6" t="str">
        <x:v>依赖</x:v>
      </x:c>
      <x:c r="K1" s="6" t="str">
        <x:v>验收标准</x:v>
      </x:c>
    </x:row>
    <x:row r="2" ht="56" customHeight="1">
      <x:c r="A2" s="9" t="str">
        <x:v>PB-001</x:v>
      </x:c>
      <x:c r="B2" s="7" t="str">
        <x:v>项目基础</x:v>
      </x:c>
      <x:c r="C2" s="7" t="str">
        <x:v>建立前后端仓库结构与质量门禁</x:v>
      </x:c>
      <x:c r="D2" s="8" t="str">
        <x:v>作为开发团队，我希望项目具备统一目录、环境配置和自动检查，以便后续迭代保持一致。</x:v>
      </x:c>
      <x:c r="E2" s="9" t="str">
        <x:v>Must</x:v>
      </x:c>
      <x:c r="F2" s="9" t="str">
        <x:v>Sprint 0</x:v>
      </x:c>
      <x:c r="G2" s="10" t="n">
        <x:v>3</x:v>
      </x:c>
      <x:c r="H2" s="9" t="str">
        <x:v>李嘉伟/刘俊义</x:v>
      </x:c>
      <x:c r="I2" s="9" t="str">
        <x:v>待开始</x:v>
      </x:c>
      <x:c r="J2" s="9" t="str">
        <x:v>无</x:v>
      </x:c>
      <x:c r="K2" s="8" t="str">
        <x:v>仓库包含 Vue、FastAPI、测试和 Docker 基础结构；提交触发 lint、类型检查和单元测试；无真实密钥入库。</x:v>
      </x:c>
    </x:row>
    <x:row r="3" ht="56" customHeight="1">
      <x:c r="A3" s="9" t="str">
        <x:v>PB-002</x:v>
      </x:c>
      <x:c r="B3" s="7" t="str">
        <x:v>项目基础</x:v>
      </x:c>
      <x:c r="C3" s="7" t="str">
        <x:v>建立数据库迁移与种子数据</x:v>
      </x:c>
      <x:c r="D3" s="8" t="str">
        <x:v>作为开发团队，我希望数据库结构可版本化并能初始化基础字典。</x:v>
      </x:c>
      <x:c r="E3" s="9" t="str">
        <x:v>Must</x:v>
      </x:c>
      <x:c r="F3" s="9" t="str">
        <x:v>Sprint 0</x:v>
      </x:c>
      <x:c r="G3" s="10" t="n">
        <x:v>3</x:v>
      </x:c>
      <x:c r="H3" s="9" t="str">
        <x:v>李嘉伟</x:v>
      </x:c>
      <x:c r="I3" s="9" t="str">
        <x:v>待开始</x:v>
      </x:c>
      <x:c r="J3" s="9" t="str">
        <x:v>PB-001</x:v>
      </x:c>
      <x:c r="K3" s="8" t="str">
        <x:v>Alembic 可完成全新升级；基础角色和业务字典可重复初始化；失败不会留下半完成状态。</x:v>
      </x:c>
    </x:row>
    <x:row r="4" ht="56" customHeight="1">
      <x:c r="A4" s="9" t="str">
        <x:v>PB-003</x:v>
      </x:c>
      <x:c r="B4" s="7" t="str">
        <x:v>身份权限</x:v>
      </x:c>
      <x:c r="C4" s="7" t="str">
        <x:v>用户登录与安全会话</x:v>
      </x:c>
      <x:c r="D4" s="8" t="str">
        <x:v>作为用户，我希望通过账号密码安全登录，以访问被授权功能。</x:v>
      </x:c>
      <x:c r="E4" s="9" t="str">
        <x:v>Must</x:v>
      </x:c>
      <x:c r="F4" s="9" t="str">
        <x:v>Sprint 1</x:v>
      </x:c>
      <x:c r="G4" s="10" t="n">
        <x:v>5</x:v>
      </x:c>
      <x:c r="H4" s="9" t="str">
        <x:v>刘俊义</x:v>
      </x:c>
      <x:c r="I4" s="9" t="str">
        <x:v>待开始</x:v>
      </x:c>
      <x:c r="J4" s="9" t="str">
        <x:v>PB-001</x:v>
      </x:c>
      <x:c r="K4" s="8" t="str">
        <x:v>正确凭据可登录；错误凭据不泄露账号状态；会话过期需重新认证；登录行为写入审计日志。</x:v>
      </x:c>
    </x:row>
    <x:row r="5" ht="56" customHeight="1">
      <x:c r="A5" s="9" t="str">
        <x:v>PB-004</x:v>
      </x:c>
      <x:c r="B5" s="7" t="str">
        <x:v>身份权限</x:v>
      </x:c>
      <x:c r="C5" s="7" t="str">
        <x:v>角色、菜单与数据权限</x:v>
      </x:c>
      <x:c r="D5" s="8" t="str">
        <x:v>作为管理员，我希望配置角色的功能和数据范围，以控制业务访问。</x:v>
      </x:c>
      <x:c r="E5" s="9" t="str">
        <x:v>Must</x:v>
      </x:c>
      <x:c r="F5" s="9" t="str">
        <x:v>Sprint 1</x:v>
      </x:c>
      <x:c r="G5" s="10" t="n">
        <x:v>8</x:v>
      </x:c>
      <x:c r="H5" s="9" t="str">
        <x:v>刘俊义</x:v>
      </x:c>
      <x:c r="I5" s="9" t="str">
        <x:v>待开始</x:v>
      </x:c>
      <x:c r="J5" s="9" t="str">
        <x:v>PB-003</x:v>
      </x:c>
      <x:c r="K5" s="8" t="str">
        <x:v>权限由后端强制执行；支持一个用户多个角色；系统管理权限不自动授予全部业务数据；越权返回 403。</x:v>
      </x:c>
    </x:row>
    <x:row r="6" ht="56" customHeight="1">
      <x:c r="A6" s="9" t="str">
        <x:v>PB-005</x:v>
      </x:c>
      <x:c r="B6" s="7" t="str">
        <x:v>身份权限</x:v>
      </x:c>
      <x:c r="C6" s="7" t="str">
        <x:v>用户与组织管理</x:v>
      </x:c>
      <x:c r="D6" s="8" t="str">
        <x:v>作为管理员，我希望维护用户、部门和启停状态。</x:v>
      </x:c>
      <x:c r="E6" s="9" t="str">
        <x:v>Should</x:v>
      </x:c>
      <x:c r="F6" s="9" t="str">
        <x:v>Sprint 1</x:v>
      </x:c>
      <x:c r="G6" s="10" t="n">
        <x:v>5</x:v>
      </x:c>
      <x:c r="H6" s="9" t="str">
        <x:v>刘俊义</x:v>
      </x:c>
      <x:c r="I6" s="9" t="str">
        <x:v>待开始</x:v>
      </x:c>
      <x:c r="J6" s="9" t="str">
        <x:v>PB-003</x:v>
      </x:c>
      <x:c r="K6" s="8" t="str">
        <x:v>可新增、编辑、停用用户；停用后无法新建会话；已有业务记录保留原责任人。</x:v>
      </x:c>
    </x:row>
    <x:row r="7" ht="56" customHeight="1">
      <x:c r="A7" s="9" t="str">
        <x:v>PB-006</x:v>
      </x:c>
      <x:c r="B7" s="7" t="str">
        <x:v>广告牌资产</x:v>
      </x:c>
      <x:c r="C7" s="7" t="str">
        <x:v>广告牌基础档案</x:v>
      </x:c>
      <x:c r="D7" s="8" t="str">
        <x:v>作为运营人员，我希望维护广告牌编号、位置、规格和权属信息。</x:v>
      </x:c>
      <x:c r="E7" s="9" t="str">
        <x:v>Must</x:v>
      </x:c>
      <x:c r="F7" s="9" t="str">
        <x:v>Sprint 1</x:v>
      </x:c>
      <x:c r="G7" s="10" t="n">
        <x:v>8</x:v>
      </x:c>
      <x:c r="H7" s="9" t="str">
        <x:v>李嘉伟</x:v>
      </x:c>
      <x:c r="I7" s="9" t="str">
        <x:v>待开始</x:v>
      </x:c>
      <x:c r="J7" s="9" t="str">
        <x:v>PB-002,PB-004</x:v>
      </x:c>
      <x:c r="K7" s="8" t="str">
        <x:v>编号唯一；必填项校验；支持草稿和启用；新增修改均有审计记录。</x:v>
      </x:c>
    </x:row>
    <x:row r="8" ht="56" customHeight="1">
      <x:c r="A8" s="9" t="str">
        <x:v>PB-007</x:v>
      </x:c>
      <x:c r="B8" s="7" t="str">
        <x:v>广告牌资产</x:v>
      </x:c>
      <x:c r="C8" s="7" t="str">
        <x:v>广告牌列表、筛选与导出</x:v>
      </x:c>
      <x:c r="D8" s="8" t="str">
        <x:v>作为运营人员，我希望快速查询并导出权限范围内的广告牌。</x:v>
      </x:c>
      <x:c r="E8" s="9" t="str">
        <x:v>Must</x:v>
      </x:c>
      <x:c r="F8" s="9" t="str">
        <x:v>Sprint 1</x:v>
      </x:c>
      <x:c r="G8" s="10" t="n">
        <x:v>5</x:v>
      </x:c>
      <x:c r="H8" s="9" t="str">
        <x:v>林家明</x:v>
      </x:c>
      <x:c r="I8" s="9" t="str">
        <x:v>待开始</x:v>
      </x:c>
      <x:c r="J8" s="9" t="str">
        <x:v>PB-006</x:v>
      </x:c>
      <x:c r="K8" s="8" t="str">
        <x:v>支持编号、路线、区域、状态筛选；分页稳定；导出沿用当前筛选和数据权限。</x:v>
      </x:c>
    </x:row>
    <x:row r="9" ht="56" customHeight="1">
      <x:c r="A9" s="9" t="str">
        <x:v>PB-008</x:v>
      </x:c>
      <x:c r="B9" s="7" t="str">
        <x:v>广告牌资产</x:v>
      </x:c>
      <x:c r="C9" s="7" t="str">
        <x:v>地图点位展示</x:v>
      </x:c>
      <x:c r="D9" s="8" t="str">
        <x:v>作为运营人员，我希望在地图查看广告牌分布和状态。</x:v>
      </x:c>
      <x:c r="E9" s="9" t="str">
        <x:v>Should</x:v>
      </x:c>
      <x:c r="F9" s="9" t="str">
        <x:v>Sprint 2</x:v>
      </x:c>
      <x:c r="G9" s="10" t="n">
        <x:v>8</x:v>
      </x:c>
      <x:c r="H9" s="9" t="str">
        <x:v>林家明</x:v>
      </x:c>
      <x:c r="I9" s="9" t="str">
        <x:v>待开始</x:v>
      </x:c>
      <x:c r="J9" s="9" t="str">
        <x:v>PB-006</x:v>
      </x:c>
      <x:c r="K9" s="8" t="str">
        <x:v>点位与档案坐标一致；聚合展示；状态同时使用颜色和图标；点击打开详情。</x:v>
      </x:c>
    </x:row>
    <x:row r="10" ht="56" customHeight="1">
      <x:c r="A10" s="9" t="str">
        <x:v>PB-009</x:v>
      </x:c>
      <x:c r="B10" s="7" t="str">
        <x:v>广告牌资产</x:v>
      </x:c>
      <x:c r="C10" s="7" t="str">
        <x:v>资产附件管理</x:v>
      </x:c>
      <x:c r="D10" s="8" t="str">
        <x:v>作为运营人员，我希望上传照片、权属证明和图纸。</x:v>
      </x:c>
      <x:c r="E10" s="9" t="str">
        <x:v>Should</x:v>
      </x:c>
      <x:c r="F10" s="9" t="str">
        <x:v>Sprint 2</x:v>
      </x:c>
      <x:c r="G10" s="10" t="n">
        <x:v>5</x:v>
      </x:c>
      <x:c r="H10" s="9" t="str">
        <x:v>李嘉伟</x:v>
      </x:c>
      <x:c r="I10" s="9" t="str">
        <x:v>待开始</x:v>
      </x:c>
      <x:c r="J10" s="9" t="str">
        <x:v>PB-006</x:v>
      </x:c>
      <x:c r="K10" s="8" t="str">
        <x:v>文件保存 OSS；限制类型和大小；下载鉴权；删除保留审计记录。</x:v>
      </x:c>
    </x:row>
    <x:row r="11" ht="56" customHeight="1">
      <x:c r="A11" s="9" t="str">
        <x:v>PB-010</x:v>
      </x:c>
      <x:c r="B11" s="7" t="str">
        <x:v>客户管理</x:v>
      </x:c>
      <x:c r="C11" s="7" t="str">
        <x:v>客户档案与联系人</x:v>
      </x:c>
      <x:c r="D11" s="8" t="str">
        <x:v>作为合同人员，我希望维护客户主体、联系人和开票信息。</x:v>
      </x:c>
      <x:c r="E11" s="9" t="str">
        <x:v>Must</x:v>
      </x:c>
      <x:c r="F11" s="9" t="str">
        <x:v>Sprint 2</x:v>
      </x:c>
      <x:c r="G11" s="10" t="n">
        <x:v>5</x:v>
      </x:c>
      <x:c r="H11" s="9" t="str">
        <x:v>李嘉伟</x:v>
      </x:c>
      <x:c r="I11" s="9" t="str">
        <x:v>待开始</x:v>
      </x:c>
      <x:c r="J11" s="9" t="str">
        <x:v>PB-004</x:v>
      </x:c>
      <x:c r="K11" s="8" t="str">
        <x:v>客户名称支持重复提醒；联系人可多条；敏感字段脱敏展示；停用客户不能新建合同。</x:v>
      </x:c>
    </x:row>
    <x:row r="12" ht="56" customHeight="1">
      <x:c r="A12" s="9" t="str">
        <x:v>PB-011</x:v>
      </x:c>
      <x:c r="B12" s="7" t="str">
        <x:v>客户管理</x:v>
      </x:c>
      <x:c r="C12" s="7" t="str">
        <x:v>客户合同与回款视图</x:v>
      </x:c>
      <x:c r="D12" s="8" t="str">
        <x:v>作为合同人员，我希望从客户页查看其合同和回款摘要。</x:v>
      </x:c>
      <x:c r="E12" s="9" t="str">
        <x:v>Should</x:v>
      </x:c>
      <x:c r="F12" s="9" t="str">
        <x:v>Sprint 3</x:v>
      </x:c>
      <x:c r="G12" s="10" t="n">
        <x:v>3</x:v>
      </x:c>
      <x:c r="H12" s="9" t="str">
        <x:v>林家明</x:v>
      </x:c>
      <x:c r="I12" s="9" t="str">
        <x:v>待开始</x:v>
      </x:c>
      <x:c r="J12" s="9" t="str">
        <x:v>PB-010,PB-015</x:v>
      </x:c>
      <x:c r="K12" s="8" t="str">
        <x:v>金额与合同、收款明细一致；仅展示有权数据；支持跳转对应详情。</x:v>
      </x:c>
    </x:row>
    <x:row r="13" ht="56" customHeight="1">
      <x:c r="A13" s="9" t="str">
        <x:v>PB-012</x:v>
      </x:c>
      <x:c r="B13" s="7" t="str">
        <x:v>合同管理</x:v>
      </x:c>
      <x:c r="C13" s="7" t="str">
        <x:v>创建合同草稿</x:v>
      </x:c>
      <x:c r="D13" s="8" t="str">
        <x:v>作为合同人员，我希望选择客户和广告牌创建合同草稿。</x:v>
      </x:c>
      <x:c r="E13" s="9" t="str">
        <x:v>Must</x:v>
      </x:c>
      <x:c r="F13" s="9" t="str">
        <x:v>Sprint 2</x:v>
      </x:c>
      <x:c r="G13" s="10" t="n">
        <x:v>8</x:v>
      </x:c>
      <x:c r="H13" s="9" t="str">
        <x:v>李嘉伟</x:v>
      </x:c>
      <x:c r="I13" s="9" t="str">
        <x:v>待开始</x:v>
      </x:c>
      <x:c r="J13" s="9" t="str">
        <x:v>PB-006,PB-010</x:v>
      </x:c>
      <x:c r="K13" s="8" t="str">
        <x:v>同一广告牌租期冲突时阻止提交；金额和日期校验；草稿不占用正式经营状态。</x:v>
      </x:c>
    </x:row>
    <x:row r="14" ht="56" customHeight="1">
      <x:c r="A14" s="9" t="str">
        <x:v>PB-013</x:v>
      </x:c>
      <x:c r="B14" s="7" t="str">
        <x:v>合同管理</x:v>
      </x:c>
      <x:c r="C14" s="7" t="str">
        <x:v>合同审批与驳回</x:v>
      </x:c>
      <x:c r="D14" s="8" t="str">
        <x:v>作为审批人，我希望审核合同并记录意见。</x:v>
      </x:c>
      <x:c r="E14" s="9" t="str">
        <x:v>Must</x:v>
      </x:c>
      <x:c r="F14" s="9" t="str">
        <x:v>Sprint 2</x:v>
      </x:c>
      <x:c r="G14" s="10" t="n">
        <x:v>8</x:v>
      </x:c>
      <x:c r="H14" s="9" t="str">
        <x:v>刘俊义</x:v>
      </x:c>
      <x:c r="I14" s="9" t="str">
        <x:v>待开始</x:v>
      </x:c>
      <x:c r="J14" s="9" t="str">
        <x:v>PB-012</x:v>
      </x:c>
      <x:c r="K14" s="8" t="str">
        <x:v>仅授权审批人可处理；驳回必须填写原因；审批后记录不可覆盖；重复提交幂等。</x:v>
      </x:c>
    </x:row>
    <x:row r="15" ht="56" customHeight="1">
      <x:c r="A15" s="9" t="str">
        <x:v>PB-014</x:v>
      </x:c>
      <x:c r="B15" s="7" t="str">
        <x:v>合同管理</x:v>
      </x:c>
      <x:c r="C15" s="7" t="str">
        <x:v>合同生效、变更与终止</x:v>
      </x:c>
      <x:c r="D15" s="8" t="str">
        <x:v>作为合同人员，我希望管理合同完整生命周期并保留历史。</x:v>
      </x:c>
      <x:c r="E15" s="9" t="str">
        <x:v>Must</x:v>
      </x:c>
      <x:c r="F15" s="9" t="str">
        <x:v>Sprint 3</x:v>
      </x:c>
      <x:c r="G15" s="10" t="n">
        <x:v>8</x:v>
      </x:c>
      <x:c r="H15" s="9" t="str">
        <x:v>李嘉伟</x:v>
      </x:c>
      <x:c r="I15" s="9" t="str">
        <x:v>待开始</x:v>
      </x:c>
      <x:c r="J15" s="9" t="str">
        <x:v>PB-013</x:v>
      </x:c>
      <x:c r="K15" s="8" t="str">
        <x:v>生效后同步广告牌经营状态；变更生成新版本；终止记录原因与时间；历史版本可追溯。</x:v>
      </x:c>
    </x:row>
    <x:row r="16" ht="56" customHeight="1">
      <x:c r="A16" s="9" t="str">
        <x:v>PB-015</x:v>
      </x:c>
      <x:c r="B16" s="7" t="str">
        <x:v>财务管理</x:v>
      </x:c>
      <x:c r="C16" s="7" t="str">
        <x:v>生成应收计划</x:v>
      </x:c>
      <x:c r="D16" s="8" t="str">
        <x:v>作为财务人员，我希望按合同生成应收计划。</x:v>
      </x:c>
      <x:c r="E16" s="9" t="str">
        <x:v>Must</x:v>
      </x:c>
      <x:c r="F16" s="9" t="str">
        <x:v>Sprint 3</x:v>
      </x:c>
      <x:c r="G16" s="10" t="n">
        <x:v>8</x:v>
      </x:c>
      <x:c r="H16" s="9" t="str">
        <x:v>刘俊义</x:v>
      </x:c>
      <x:c r="I16" s="9" t="str">
        <x:v>待开始</x:v>
      </x:c>
      <x:c r="J16" s="9" t="str">
        <x:v>PB-014</x:v>
      </x:c>
      <x:c r="K16" s="8" t="str">
        <x:v>各期应收合计等于合同应收；日期和金额可复核；重复触发不生成重复记录。</x:v>
      </x:c>
    </x:row>
    <x:row r="17" ht="56" customHeight="1">
      <x:c r="A17" s="9" t="str">
        <x:v>PB-016</x:v>
      </x:c>
      <x:c r="B17" s="7" t="str">
        <x:v>财务管理</x:v>
      </x:c>
      <x:c r="C17" s="7" t="str">
        <x:v>登记收款与核销</x:v>
      </x:c>
      <x:c r="D17" s="8" t="str">
        <x:v>作为财务人员，我希望登记收款并分配到应收项目。</x:v>
      </x:c>
      <x:c r="E17" s="9" t="str">
        <x:v>Must</x:v>
      </x:c>
      <x:c r="F17" s="9" t="str">
        <x:v>Sprint 3</x:v>
      </x:c>
      <x:c r="G17" s="10" t="n">
        <x:v>8</x:v>
      </x:c>
      <x:c r="H17" s="9" t="str">
        <x:v>刘俊义</x:v>
      </x:c>
      <x:c r="I17" s="9" t="str">
        <x:v>待开始</x:v>
      </x:c>
      <x:c r="J17" s="9" t="str">
        <x:v>PB-015</x:v>
      </x:c>
      <x:c r="K17" s="8" t="str">
        <x:v>支持一次收款核销多期应收；不得超额核销；事务失败全部回滚；保留凭证。</x:v>
      </x:c>
    </x:row>
    <x:row r="18" ht="56" customHeight="1">
      <x:c r="A18" s="9" t="str">
        <x:v>PB-017</x:v>
      </x:c>
      <x:c r="B18" s="7" t="str">
        <x:v>财务管理</x:v>
      </x:c>
      <x:c r="C18" s="7" t="str">
        <x:v>部分收款与退款冲销</x:v>
      </x:c>
      <x:c r="D18" s="8" t="str">
        <x:v>作为财务人员，我希望处理部分收款、退款和冲销。</x:v>
      </x:c>
      <x:c r="E18" s="9" t="str">
        <x:v>Must</x:v>
      </x:c>
      <x:c r="F18" s="9" t="str">
        <x:v>Sprint 3</x:v>
      </x:c>
      <x:c r="G18" s="10" t="n">
        <x:v>8</x:v>
      </x:c>
      <x:c r="H18" s="9" t="str">
        <x:v>刘俊义</x:v>
      </x:c>
      <x:c r="I18" s="9" t="str">
        <x:v>待开始</x:v>
      </x:c>
      <x:c r="J18" s="9" t="str">
        <x:v>PB-016</x:v>
      </x:c>
      <x:c r="K18" s="8" t="str">
        <x:v>部分核销余额正确；退款不覆盖原收款；冲销建立关联记录；余额可对账。</x:v>
      </x:c>
    </x:row>
    <x:row r="19" ht="56" customHeight="1">
      <x:c r="A19" s="9" t="str">
        <x:v>PB-018</x:v>
      </x:c>
      <x:c r="B19" s="7" t="str">
        <x:v>财务管理</x:v>
      </x:c>
      <x:c r="C19" s="7" t="str">
        <x:v>欠款与逾期预警</x:v>
      </x:c>
      <x:c r="D19" s="8" t="str">
        <x:v>作为经营人员，我希望查看即将到期和已逾期应收。</x:v>
      </x:c>
      <x:c r="E19" s="9" t="str">
        <x:v>Must</x:v>
      </x:c>
      <x:c r="F19" s="9" t="str">
        <x:v>Sprint 3</x:v>
      </x:c>
      <x:c r="G19" s="10" t="n">
        <x:v>5</x:v>
      </x:c>
      <x:c r="H19" s="9" t="str">
        <x:v>林家明</x:v>
      </x:c>
      <x:c r="I19" s="9" t="str">
        <x:v>待开始</x:v>
      </x:c>
      <x:c r="J19" s="9" t="str">
        <x:v>PB-015</x:v>
      </x:c>
      <x:c r="K19" s="8" t="str">
        <x:v>逾期天数由规则计算；预警阈值可配置；支持客户、合同和责任人筛选。</x:v>
      </x:c>
    </x:row>
    <x:row r="20" ht="56" customHeight="1">
      <x:c r="A20" s="9" t="str">
        <x:v>PB-019</x:v>
      </x:c>
      <x:c r="B20" s="7" t="str">
        <x:v>巡检维护</x:v>
      </x:c>
      <x:c r="C20" s="7" t="str">
        <x:v>巡检计划和任务</x:v>
      </x:c>
      <x:c r="D20" s="8" t="str">
        <x:v>作为运营人员，我希望创建周期巡检计划并生成任务。</x:v>
      </x:c>
      <x:c r="E20" s="9" t="str">
        <x:v>Should</x:v>
      </x:c>
      <x:c r="F20" s="9" t="str">
        <x:v>Sprint 4</x:v>
      </x:c>
      <x:c r="G20" s="10" t="n">
        <x:v>5</x:v>
      </x:c>
      <x:c r="H20" s="9" t="str">
        <x:v>李嘉伟</x:v>
      </x:c>
      <x:c r="I20" s="9" t="str">
        <x:v>待开始</x:v>
      </x:c>
      <x:c r="J20" s="9" t="str">
        <x:v>PB-006</x:v>
      </x:c>
      <x:c r="K20" s="8" t="str">
        <x:v>计划可启停；按周期生成且不重复；任务分配到责任人；逾期可识别。</x:v>
      </x:c>
    </x:row>
    <x:row r="21" ht="56" customHeight="1">
      <x:c r="A21" s="9" t="str">
        <x:v>PB-020</x:v>
      </x:c>
      <x:c r="B21" s="7" t="str">
        <x:v>巡检维护</x:v>
      </x:c>
      <x:c r="C21" s="7" t="str">
        <x:v>移动端巡检记录</x:v>
      </x:c>
      <x:c r="D21" s="8" t="str">
        <x:v>作为巡检人员，我希望手机记录结果并上传现场照片。</x:v>
      </x:c>
      <x:c r="E21" s="9" t="str">
        <x:v>Should</x:v>
      </x:c>
      <x:c r="F21" s="9" t="str">
        <x:v>Sprint 4</x:v>
      </x:c>
      <x:c r="G21" s="10" t="n">
        <x:v>8</x:v>
      </x:c>
      <x:c r="H21" s="9" t="str">
        <x:v>林家明</x:v>
      </x:c>
      <x:c r="I21" s="9" t="str">
        <x:v>待开始</x:v>
      </x:c>
      <x:c r="J21" s="9" t="str">
        <x:v>PB-019</x:v>
      </x:c>
      <x:c r="K21" s="8" t="str">
        <x:v>支持手机浏览器；记录定位、时间、结果和图片；弱网失败保留输入并可重试。</x:v>
      </x:c>
    </x:row>
    <x:row r="22" ht="56" customHeight="1">
      <x:c r="A22" s="9" t="str">
        <x:v>PB-021</x:v>
      </x:c>
      <x:c r="B22" s="7" t="str">
        <x:v>巡检维护</x:v>
      </x:c>
      <x:c r="C22" s="7" t="str">
        <x:v>缺陷与维修闭环</x:v>
      </x:c>
      <x:c r="D22" s="8" t="str">
        <x:v>作为运营人员，我希望将巡检缺陷转为维修并跟踪关闭。</x:v>
      </x:c>
      <x:c r="E22" s="9" t="str">
        <x:v>Should</x:v>
      </x:c>
      <x:c r="F22" s="9" t="str">
        <x:v>Sprint 4</x:v>
      </x:c>
      <x:c r="G22" s="10" t="n">
        <x:v>8</x:v>
      </x:c>
      <x:c r="H22" s="9" t="str">
        <x:v>李嘉伟</x:v>
      </x:c>
      <x:c r="I22" s="9" t="str">
        <x:v>待开始</x:v>
      </x:c>
      <x:c r="J22" s="9" t="str">
        <x:v>PB-020</x:v>
      </x:c>
      <x:c r="K22" s="8" t="str">
        <x:v>缺陷关联广告牌和巡检；分派、处理中、验收、关闭状态可追溯；关闭需验收结果。</x:v>
      </x:c>
    </x:row>
    <x:row r="23" ht="56" customHeight="1">
      <x:c r="A23" s="9" t="str">
        <x:v>PB-022</x:v>
      </x:c>
      <x:c r="B23" s="7" t="str">
        <x:v>工作台报表</x:v>
      </x:c>
      <x:c r="C23" s="7" t="str">
        <x:v>经营工作台</x:v>
      </x:c>
      <x:c r="D23" s="8" t="str">
        <x:v>作为项目负责人，我希望查看待办、资产、合同和收款核心指标。</x:v>
      </x:c>
      <x:c r="E23" s="9" t="str">
        <x:v>Must</x:v>
      </x:c>
      <x:c r="F23" s="9" t="str">
        <x:v>Sprint 4</x:v>
      </x:c>
      <x:c r="G23" s="10" t="n">
        <x:v>8</x:v>
      </x:c>
      <x:c r="H23" s="9" t="str">
        <x:v>林家明</x:v>
      </x:c>
      <x:c r="I23" s="9" t="str">
        <x:v>待开始</x:v>
      </x:c>
      <x:c r="J23" s="9" t="str">
        <x:v>PB-007,PB-014,PB-018</x:v>
      </x:c>
      <x:c r="K23" s="8" t="str">
        <x:v>指标口径与明细一致；显示统计周期与更新时间；点击指标进入对应筛选结果。</x:v>
      </x:c>
    </x:row>
    <x:row r="24" ht="56" customHeight="1">
      <x:c r="A24" s="9" t="str">
        <x:v>PB-023</x:v>
      </x:c>
      <x:c r="B24" s="7" t="str">
        <x:v>工作台报表</x:v>
      </x:c>
      <x:c r="C24" s="7" t="str">
        <x:v>经营分析报表</x:v>
      </x:c>
      <x:c r="D24" s="8" t="str">
        <x:v>作为管理人员，我希望按路线、区域、客户和周期分析经营情况。</x:v>
      </x:c>
      <x:c r="E24" s="9" t="str">
        <x:v>Should</x:v>
      </x:c>
      <x:c r="F24" s="9" t="str">
        <x:v>Sprint 5</x:v>
      </x:c>
      <x:c r="G24" s="10" t="n">
        <x:v>8</x:v>
      </x:c>
      <x:c r="H24" s="9" t="str">
        <x:v>林家明</x:v>
      </x:c>
      <x:c r="I24" s="9" t="str">
        <x:v>待开始</x:v>
      </x:c>
      <x:c r="J24" s="9" t="str">
        <x:v>PB-022</x:v>
      </x:c>
      <x:c r="K24" s="8" t="str">
        <x:v>指标口径可见；筛选联动；导出结果与页面一致；无权限数据不参与汇总。</x:v>
      </x:c>
    </x:row>
    <x:row r="25" ht="56" customHeight="1">
      <x:c r="A25" s="9" t="str">
        <x:v>PB-024</x:v>
      </x:c>
      <x:c r="B25" s="7" t="str">
        <x:v>工作台报表</x:v>
      </x:c>
      <x:c r="C25" s="7" t="str">
        <x:v>报表导出与异步任务</x:v>
      </x:c>
      <x:c r="D25" s="8" t="str">
        <x:v>作为用户，我希望导出大数据量报表并查看生成进度。</x:v>
      </x:c>
      <x:c r="E25" s="9" t="str">
        <x:v>Should</x:v>
      </x:c>
      <x:c r="F25" s="9" t="str">
        <x:v>Sprint 5</x:v>
      </x:c>
      <x:c r="G25" s="10" t="n">
        <x:v>5</x:v>
      </x:c>
      <x:c r="H25" s="9" t="str">
        <x:v>刘俊义</x:v>
      </x:c>
      <x:c r="I25" s="9" t="str">
        <x:v>待开始</x:v>
      </x:c>
      <x:c r="J25" s="9" t="str">
        <x:v>PB-023</x:v>
      </x:c>
      <x:c r="K25" s="8" t="str">
        <x:v>大导出异步执行；显示进度和失败原因；下载链接有时效和权限校验。</x:v>
      </x:c>
    </x:row>
    <x:row r="26" ht="56" customHeight="1">
      <x:c r="A26" s="9" t="str">
        <x:v>PB-025</x:v>
      </x:c>
      <x:c r="B26" s="7" t="str">
        <x:v>AI 能力</x:v>
      </x:c>
      <x:c r="C26" s="7" t="str">
        <x:v>大模型供应商配置</x:v>
      </x:c>
      <x:c r="D26" s="8" t="str">
        <x:v>作为管理员，我希望通过 API Key 配置和测试不同模型。</x:v>
      </x:c>
      <x:c r="E26" s="9" t="str">
        <x:v>Must</x:v>
      </x:c>
      <x:c r="F26" s="9" t="str">
        <x:v>Sprint 5</x:v>
      </x:c>
      <x:c r="G26" s="10" t="n">
        <x:v>5</x:v>
      </x:c>
      <x:c r="H26" s="9" t="str">
        <x:v>刘俊义</x:v>
      </x:c>
      <x:c r="I26" s="9" t="str">
        <x:v>待开始</x:v>
      </x:c>
      <x:c r="J26" s="9" t="str">
        <x:v>PB-004</x:v>
      </x:c>
      <x:c r="K26" s="8" t="str">
        <x:v>支持 OpenAI 兼容端点、模型名和参数；密钥加密保存且仅显示末四位；可测试连接和停用。</x:v>
      </x:c>
    </x:row>
    <x:row r="27" ht="56" customHeight="1">
      <x:c r="A27" s="9" t="str">
        <x:v>PB-026</x:v>
      </x:c>
      <x:c r="B27" s="7" t="str">
        <x:v>AI 能力</x:v>
      </x:c>
      <x:c r="C27" s="7" t="str">
        <x:v>合同文档解析草稿</x:v>
      </x:c>
      <x:c r="D27" s="8" t="str">
        <x:v>作为合同人员，我希望上传合同后生成结构化字段草稿。</x:v>
      </x:c>
      <x:c r="E27" s="9" t="str">
        <x:v>Should</x:v>
      </x:c>
      <x:c r="F27" s="9" t="str">
        <x:v>Sprint 5</x:v>
      </x:c>
      <x:c r="G27" s="10" t="n">
        <x:v>8</x:v>
      </x:c>
      <x:c r="H27" s="9" t="str">
        <x:v>李嘉伟</x:v>
      </x:c>
      <x:c r="I27" s="9" t="str">
        <x:v>待开始</x:v>
      </x:c>
      <x:c r="J27" s="9" t="str">
        <x:v>PB-012,PB-025</x:v>
      </x:c>
      <x:c r="K27" s="8" t="str">
        <x:v>展示原文引用和置信提示；用户确认前不写正式合同；解析失败可人工录入。</x:v>
      </x:c>
    </x:row>
    <x:row r="28" ht="56" customHeight="1">
      <x:c r="A28" s="9" t="str">
        <x:v>PB-027</x:v>
      </x:c>
      <x:c r="B28" s="7" t="str">
        <x:v>AI 能力</x:v>
      </x:c>
      <x:c r="C28" s="7" t="str">
        <x:v>经营知识检索与问答</x:v>
      </x:c>
      <x:c r="D28" s="8" t="str">
        <x:v>作为用户，我希望按权限查询合同、制度和经营信息。</x:v>
      </x:c>
      <x:c r="E28" s="9" t="str">
        <x:v>Should</x:v>
      </x:c>
      <x:c r="F28" s="9" t="str">
        <x:v>Sprint 6</x:v>
      </x:c>
      <x:c r="G28" s="10" t="n">
        <x:v>13</x:v>
      </x:c>
      <x:c r="H28" s="9" t="str">
        <x:v>李嘉伟</x:v>
      </x:c>
      <x:c r="I28" s="9" t="str">
        <x:v>待开始</x:v>
      </x:c>
      <x:c r="J28" s="9" t="str">
        <x:v>PB-025</x:v>
      </x:c>
      <x:c r="K28" s="8" t="str">
        <x:v>回答附来源；检索继承用户权限；无依据时明确拒答；Milvus 不可用时降级为关键词检索。</x:v>
      </x:c>
    </x:row>
    <x:row r="29" ht="56" customHeight="1">
      <x:c r="A29" s="9" t="str">
        <x:v>PB-028</x:v>
      </x:c>
      <x:c r="B29" s="7" t="str">
        <x:v>AI 能力</x:v>
      </x:c>
      <x:c r="C29" s="7" t="str">
        <x:v>风险解释与行动建议</x:v>
      </x:c>
      <x:c r="D29" s="8" t="str">
        <x:v>作为管理人员，我希望 AI 解释系统计算出的风险并给出建议。</x:v>
      </x:c>
      <x:c r="E29" s="9" t="str">
        <x:v>Could</x:v>
      </x:c>
      <x:c r="F29" s="9" t="str">
        <x:v>Sprint 6</x:v>
      </x:c>
      <x:c r="G29" s="10" t="n">
        <x:v>8</x:v>
      </x:c>
      <x:c r="H29" s="9" t="str">
        <x:v>林家明</x:v>
      </x:c>
      <x:c r="I29" s="9" t="str">
        <x:v>待开始</x:v>
      </x:c>
      <x:c r="J29" s="9" t="str">
        <x:v>PB-018,PB-027</x:v>
      </x:c>
      <x:c r="K29" s="8" t="str">
        <x:v>风险事实由规则引擎提供；AI 不修改风险等级；回答区分事实与建议并记录模型调用。</x:v>
      </x:c>
    </x:row>
    <x:row r="30" ht="56" customHeight="1">
      <x:c r="A30" s="9" t="str">
        <x:v>PB-029</x:v>
      </x:c>
      <x:c r="B30" s="7" t="str">
        <x:v>审计安全</x:v>
      </x:c>
      <x:c r="C30" s="7" t="str">
        <x:v>统一审计日志</x:v>
      </x:c>
      <x:c r="D30" s="8" t="str">
        <x:v>作为审计人员，我希望追踪关键对象的查看和变更。</x:v>
      </x:c>
      <x:c r="E30" s="9" t="str">
        <x:v>Must</x:v>
      </x:c>
      <x:c r="F30" s="9" t="str">
        <x:v>Sprint 1</x:v>
      </x:c>
      <x:c r="G30" s="10" t="n">
        <x:v>5</x:v>
      </x:c>
      <x:c r="H30" s="9" t="str">
        <x:v>刘俊义</x:v>
      </x:c>
      <x:c r="I30" s="9" t="str">
        <x:v>待开始</x:v>
      </x:c>
      <x:c r="J30" s="9" t="str">
        <x:v>PB-003</x:v>
      </x:c>
      <x:c r="K30" s="8" t="str">
        <x:v>记录操作者、时间、对象、动作、前后状态和请求关联 ID；日志不可由普通管理员修改。</x:v>
      </x:c>
    </x:row>
    <x:row r="31" ht="56" customHeight="1">
      <x:c r="A31" s="9" t="str">
        <x:v>PB-030</x:v>
      </x:c>
      <x:c r="B31" s="7" t="str">
        <x:v>审计安全</x:v>
      </x:c>
      <x:c r="C31" s="7" t="str">
        <x:v>敏感数据与日志脱敏</x:v>
      </x:c>
      <x:c r="D31" s="8" t="str">
        <x:v>作为安全负责人，我希望敏感字段不出现在普通日志和无权界面。</x:v>
      </x:c>
      <x:c r="E31" s="9" t="str">
        <x:v>Must</x:v>
      </x:c>
      <x:c r="F31" s="9" t="str">
        <x:v>Sprint 1</x:v>
      </x:c>
      <x:c r="G31" s="10" t="n">
        <x:v>5</x:v>
      </x:c>
      <x:c r="H31" s="9" t="str">
        <x:v>刘俊义</x:v>
      </x:c>
      <x:c r="I31" s="9" t="str">
        <x:v>待开始</x:v>
      </x:c>
      <x:c r="J31" s="9" t="str">
        <x:v>PB-001</x:v>
      </x:c>
      <x:c r="K31" s="8" t="str">
        <x:v>API Key、手机号、身份证号按规则脱敏；异常日志不输出密钥；导出同样执行权限控制。</x:v>
      </x:c>
    </x:row>
    <x:row r="32" ht="56" customHeight="1">
      <x:c r="A32" s="9" t="str">
        <x:v>PB-031</x:v>
      </x:c>
      <x:c r="B32" s="7" t="str">
        <x:v>运维交付</x:v>
      </x:c>
      <x:c r="C32" s="7" t="str">
        <x:v>Vercel 演示环境</x:v>
      </x:c>
      <x:c r="D32" s="8" t="str">
        <x:v>作为项目负责人，我希望通过 GitHub 自动发布个人演示环境。</x:v>
      </x:c>
      <x:c r="E32" s="9" t="str">
        <x:v>Should</x:v>
      </x:c>
      <x:c r="F32" s="9" t="str">
        <x:v>Sprint 1</x:v>
      </x:c>
      <x:c r="G32" s="10" t="n">
        <x:v>5</x:v>
      </x:c>
      <x:c r="H32" s="9" t="str">
        <x:v>林家明</x:v>
      </x:c>
      <x:c r="I32" s="9" t="str">
        <x:v>待开始</x:v>
      </x:c>
      <x:c r="J32" s="9" t="str">
        <x:v>PB-001</x:v>
      </x:c>
      <x:c r="K32" s="8" t="str">
        <x:v>前端和轻量 FastAPI 可从主分支部署；仅使用测试或脱敏数据；环境变量由平台管理。</x:v>
      </x:c>
    </x:row>
    <x:row r="33" ht="56" customHeight="1">
      <x:c r="A33" s="9" t="str">
        <x:v>PB-032</x:v>
      </x:c>
      <x:c r="B33" s="7" t="str">
        <x:v>运维交付</x:v>
      </x:c>
      <x:c r="C33" s="7" t="str">
        <x:v>阿里云生产部署模板</x:v>
      </x:c>
      <x:c r="D33" s="8" t="str">
        <x:v>作为运维人员，我希望具备 ECS、RDS、Redis、OSS、Milvus 的部署模板。</x:v>
      </x:c>
      <x:c r="E33" s="9" t="str">
        <x:v>Must</x:v>
      </x:c>
      <x:c r="F33" s="9" t="str">
        <x:v>Sprint 5</x:v>
      </x:c>
      <x:c r="G33" s="10" t="n">
        <x:v>13</x:v>
      </x:c>
      <x:c r="H33" s="9" t="str">
        <x:v>李嘉伟/刘俊义</x:v>
      </x:c>
      <x:c r="I33" s="9" t="str">
        <x:v>待开始</x:v>
      </x:c>
      <x:c r="J33" s="9" t="str">
        <x:v>PB-024</x:v>
      </x:c>
      <x:c r="K33" s="8" t="str">
        <x:v>后端 Docker 化；服务健康检查；私网访问数据服务；配置与演示环境接口一致。</x:v>
      </x:c>
    </x:row>
    <x:row r="34" ht="56" customHeight="1">
      <x:c r="A34" s="9" t="str">
        <x:v>PB-033</x:v>
      </x:c>
      <x:c r="B34" s="7" t="str">
        <x:v>运维交付</x:v>
      </x:c>
      <x:c r="C34" s="7" t="str">
        <x:v>监控、日志与告警</x:v>
      </x:c>
      <x:c r="D34" s="8" t="str">
        <x:v>作为运维人员，我希望监控服务、任务和 AI 调用。</x:v>
      </x:c>
      <x:c r="E34" s="9" t="str">
        <x:v>Should</x:v>
      </x:c>
      <x:c r="F34" s="9" t="str">
        <x:v>Sprint 5</x:v>
      </x:c>
      <x:c r="G34" s="10" t="n">
        <x:v>8</x:v>
      </x:c>
      <x:c r="H34" s="9" t="str">
        <x:v>刘俊义</x:v>
      </x:c>
      <x:c r="I34" s="9" t="str">
        <x:v>待开始</x:v>
      </x:c>
      <x:c r="J34" s="9" t="str">
        <x:v>PB-032</x:v>
      </x:c>
      <x:c r="K34" s="8" t="str">
        <x:v>关键接口、数据库、队列、模型调用有指标；错误可关联请求；告警包含影响和处理入口。</x:v>
      </x:c>
    </x:row>
    <x:row r="35" ht="56" customHeight="1">
      <x:c r="A35" s="9" t="str">
        <x:v>PB-034</x:v>
      </x:c>
      <x:c r="B35" s="7" t="str">
        <x:v>数据迁移</x:v>
      </x:c>
      <x:c r="C35" s="7" t="str">
        <x:v>基础档案导入</x:v>
      </x:c>
      <x:c r="D35" s="8" t="str">
        <x:v>作为实施人员，我希望通过模板批量导入广告牌和客户数据。</x:v>
      </x:c>
      <x:c r="E35" s="9" t="str">
        <x:v>Should</x:v>
      </x:c>
      <x:c r="F35" s="9" t="str">
        <x:v>Sprint 4</x:v>
      </x:c>
      <x:c r="G35" s="10" t="n">
        <x:v>8</x:v>
      </x:c>
      <x:c r="H35" s="9" t="str">
        <x:v>李嘉伟</x:v>
      </x:c>
      <x:c r="I35" s="9" t="str">
        <x:v>待开始</x:v>
      </x:c>
      <x:c r="J35" s="9" t="str">
        <x:v>PB-006,PB-010</x:v>
      </x:c>
      <x:c r="K35" s="8" t="str">
        <x:v>导入前校验并给出行级错误；支持预览；重复编号不覆盖；结果可追踪。</x:v>
      </x:c>
    </x:row>
    <x:row r="36" ht="56" customHeight="1">
      <x:c r="A36" s="9" t="str">
        <x:v>PB-035</x:v>
      </x:c>
      <x:c r="B36" s="7" t="str">
        <x:v>数据迁移</x:v>
      </x:c>
      <x:c r="C36" s="7" t="str">
        <x:v>合同与应收迁移核对</x:v>
      </x:c>
      <x:c r="D36" s="8" t="str">
        <x:v>作为实施人员，我希望迁移存量合同和应收并完成对账。</x:v>
      </x:c>
      <x:c r="E36" s="9" t="str">
        <x:v>Must</x:v>
      </x:c>
      <x:c r="F36" s="9" t="str">
        <x:v>Sprint 5</x:v>
      </x:c>
      <x:c r="G36" s="10" t="n">
        <x:v>13</x:v>
      </x:c>
      <x:c r="H36" s="9" t="str">
        <x:v>李嘉伟/祝贺</x:v>
      </x:c>
      <x:c r="I36" s="9" t="str">
        <x:v>待开始</x:v>
      </x:c>
      <x:c r="J36" s="9" t="str">
        <x:v>PB-014,PB-015</x:v>
      </x:c>
      <x:c r="K36" s="8" t="str">
        <x:v>迁移前后合同数、应收总额和关键状态一致；异常单独清单；正式导入可回滚。</x:v>
      </x:c>
    </x:row>
  </x:sheetData>
  <x:conditionalFormatting sqref="E2:E36">
    <x:cfRule type="containsText" dxfId="0" priority="1" operator="containsText" text="Must"/>
  </x:conditionalFormatting>
  <x:conditionalFormatting sqref="I2:I36">
    <x:cfRule type="containsText" dxfId="1" priority="2" operator="containsText" text="已阻塞"/>
    <x:cfRule type="containsText" dxfId="2" priority="3" operator="containsText" text="已完成"/>
  </x:conditionalFormatting>
  <x:dataValidations count="2">
    <x:dataValidation type="list" sqref="E2:E36">
      <x:formula1>"Must,Should,Could,Won't"</x:formula1>
    </x:dataValidation>
    <x:dataValidation type="list" sqref="I2:I36">
      <x:formula1>"待开始,进行中,待验收,已完成,已阻塞"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799c7cf20d4994"/>
  </x:tableParts>
</x:worksheet>
</file>